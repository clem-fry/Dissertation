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/>
  <mc:AlternateContent xmlns:mc="http://schemas.openxmlformats.org/markup-compatibility/2006">
    <mc:Choice Requires="x15">
      <x15ac:absPath xmlns:x15ac="http://schemas.microsoft.com/office/spreadsheetml/2010/11/ac" url="/Users/clementine/Documents/diffusion_simulations/"/>
    </mc:Choice>
  </mc:AlternateContent>
  <xr:revisionPtr revIDLastSave="0" documentId="13_ncr:1_{45467EAF-31C9-1143-8775-D62195B68BB8}" xr6:coauthVersionLast="47" xr6:coauthVersionMax="47" xr10:uidLastSave="{00000000-0000-0000-0000-000000000000}"/>
  <bookViews>
    <workbookView xWindow="240" yWindow="500" windowWidth="18480" windowHeight="10880" firstSheet="11" activeTab="20" xr2:uid="{00000000-000D-0000-FFFF-FFFF00000000}"/>
  </bookViews>
  <sheets>
    <sheet name="ref1" sheetId="1" r:id="rId1"/>
    <sheet name="ref1_2" sheetId="13" r:id="rId2"/>
    <sheet name="ref1_3" sheetId="14" r:id="rId3"/>
    <sheet name="ref1_4" sheetId="15" r:id="rId4"/>
    <sheet name="ref1_5" sheetId="16" r:id="rId5"/>
    <sheet name="ref1_6" sheetId="17" r:id="rId6"/>
    <sheet name="ref1_7" sheetId="18" r:id="rId7"/>
    <sheet name="ref1_8" sheetId="19" r:id="rId8"/>
    <sheet name="ref1_9" sheetId="20" r:id="rId9"/>
    <sheet name="ref1_10" sheetId="21" r:id="rId10"/>
    <sheet name="ref2" sheetId="2" r:id="rId11"/>
    <sheet name="ref2_2" sheetId="4" r:id="rId12"/>
    <sheet name="ref2_3" sheetId="5" r:id="rId13"/>
    <sheet name="ref2_4" sheetId="6" r:id="rId14"/>
    <sheet name="ref2_5" sheetId="7" r:id="rId15"/>
    <sheet name="ref2_6" sheetId="8" r:id="rId16"/>
    <sheet name="ref2_7" sheetId="9" r:id="rId17"/>
    <sheet name="ref2_8" sheetId="10" r:id="rId18"/>
    <sheet name="ref2_9" sheetId="11" r:id="rId19"/>
    <sheet name="ref2_10" sheetId="12" r:id="rId20"/>
    <sheet name="ref3" sheetId="3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7" l="1"/>
  <c r="D4" i="21"/>
  <c r="B4" i="21"/>
  <c r="D3" i="21"/>
  <c r="B3" i="21"/>
  <c r="D4" i="20"/>
  <c r="B4" i="20"/>
  <c r="E3" i="21"/>
  <c r="D3" i="20"/>
  <c r="B3" i="20"/>
  <c r="E4" i="20"/>
  <c r="D4" i="19"/>
  <c r="B4" i="19"/>
  <c r="B3" i="19"/>
  <c r="E4" i="19"/>
  <c r="B4" i="17"/>
  <c r="D4" i="18"/>
  <c r="B4" i="18"/>
  <c r="F3" i="18"/>
  <c r="D4" i="16"/>
  <c r="B4" i="16"/>
  <c r="B3" i="16"/>
  <c r="E3" i="16"/>
  <c r="D4" i="15"/>
  <c r="B4" i="15"/>
  <c r="D3" i="15"/>
  <c r="B3" i="15"/>
  <c r="E4" i="15"/>
  <c r="D4" i="14"/>
  <c r="B4" i="14"/>
  <c r="D4" i="13"/>
  <c r="B4" i="13"/>
  <c r="B4" i="4"/>
  <c r="E3" i="12"/>
  <c r="E2" i="11"/>
  <c r="E2" i="10"/>
  <c r="D4" i="9"/>
  <c r="B4" i="9"/>
  <c r="D4" i="8"/>
  <c r="D4" i="7"/>
  <c r="B4" i="7"/>
  <c r="D4" i="4"/>
  <c r="D4" i="12" l="1"/>
  <c r="B4" i="12"/>
  <c r="D4" i="11"/>
  <c r="B4" i="11"/>
  <c r="D4" i="10"/>
  <c r="B4" i="10"/>
</calcChain>
</file>

<file path=xl/sharedStrings.xml><?xml version="1.0" encoding="utf-8"?>
<sst xmlns="http://schemas.openxmlformats.org/spreadsheetml/2006/main" count="84" uniqueCount="4">
  <si>
    <t>u1</t>
  </si>
  <si>
    <t>t1</t>
  </si>
  <si>
    <t>u2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</si>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</sst>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sqref="A1:D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 s="1">
        <v>-0.105</v>
      </c>
      <c r="B3">
        <v>57</v>
      </c>
      <c r="C3">
        <v>0.105</v>
      </c>
      <c r="D3">
        <v>63</v>
      </c>
    </row>
    <row r="4" spans="1:4" x14ac:dyDescent="0.2">
      <c r="A4">
        <v>-0.15</v>
      </c>
      <c r="B4">
        <v>131</v>
      </c>
      <c r="C4">
        <v>0.15</v>
      </c>
      <c r="D4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100A-059C-465A-9545-76A2CD12F41F}">
  <dimension ref="A1:D4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 s="1">
        <v>-0.105</v>
      </c>
      <c r="B3">
        <v>59</v>
      </c>
      <c r="C3">
        <v>0.105</v>
      </c>
      <c r="D3">
        <v>59</v>
      </c>
    </row>
    <row r="4" spans="1:4" x14ac:dyDescent="0.2">
      <c r="A4">
        <v>-0.15</v>
      </c>
      <c r="B4">
        <f>120+14-3</f>
        <v>131</v>
      </c>
      <c r="C4">
        <v>0.15</v>
      </c>
      <c r="D4">
        <f>60*2+15-3</f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4F488-F5BE-4AF5-AF67-D5B27DE08964}">
  <dimension ref="A1:D4"/>
  <sheetViews>
    <sheetView workbookViewId="0">
      <selection activeCell="E3" sqref="E3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 s="1">
        <v>-0.105</v>
      </c>
      <c r="B3">
        <v>62</v>
      </c>
      <c r="C3">
        <v>0.105</v>
      </c>
      <c r="D3">
        <v>68</v>
      </c>
    </row>
    <row r="4" spans="1:4" x14ac:dyDescent="0.2">
      <c r="A4">
        <v>-0.15</v>
      </c>
      <c r="B4">
        <f>2*60+22-6</f>
        <v>136</v>
      </c>
      <c r="C4">
        <v>0.15</v>
      </c>
      <c r="D4">
        <f>2*60+24-6</f>
        <v>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44E39-6185-4F11-8BD4-2920EAF229D0}">
  <dimension ref="A1:E4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</row>
    <row r="3" spans="1:5" x14ac:dyDescent="0.2">
      <c r="A3" s="1">
        <v>-0.105</v>
      </c>
      <c r="B3">
        <f>(3*60) + 44 - 168</f>
        <v>56</v>
      </c>
      <c r="C3">
        <v>0.105</v>
      </c>
      <c r="D3">
        <f>(3*60)+56-168</f>
        <v>68</v>
      </c>
      <c r="E3">
        <v>2.48</v>
      </c>
    </row>
    <row r="4" spans="1:5" x14ac:dyDescent="0.2">
      <c r="A4">
        <v>-0.15</v>
      </c>
      <c r="B4">
        <f>(5*60)+1-168</f>
        <v>133</v>
      </c>
      <c r="C4">
        <v>0.15</v>
      </c>
      <c r="D4">
        <f>(5*60)+5 - 168</f>
        <v>137</v>
      </c>
      <c r="E4">
        <f>2*60+48</f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D5E5B-24F7-4EC4-A728-E23B2226A3B1}">
  <dimension ref="A1:E4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  <c r="E2">
        <v>5.25</v>
      </c>
    </row>
    <row r="3" spans="1:5" x14ac:dyDescent="0.2">
      <c r="A3" s="1">
        <v>-0.105</v>
      </c>
      <c r="B3">
        <f>(6*60)+23-325</f>
        <v>58</v>
      </c>
      <c r="C3">
        <v>0.105</v>
      </c>
      <c r="D3">
        <v>59</v>
      </c>
      <c r="E3">
        <f>5*60+25</f>
        <v>325</v>
      </c>
    </row>
    <row r="4" spans="1:5" x14ac:dyDescent="0.2">
      <c r="A4">
        <v>-0.15</v>
      </c>
      <c r="B4">
        <f>(7*60)+36-325</f>
        <v>131</v>
      </c>
      <c r="C4">
        <v>0.15</v>
      </c>
      <c r="D4">
        <f>(7*60)+37-325</f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666DB-6975-4DB3-AF83-9CBB9E684CDB}">
  <dimension ref="A1:E4"/>
  <sheetViews>
    <sheetView workbookViewId="0">
      <selection activeCell="E4" sqref="E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</row>
    <row r="3" spans="1:5" x14ac:dyDescent="0.2">
      <c r="A3" s="1">
        <v>-0.105</v>
      </c>
      <c r="B3">
        <v>59</v>
      </c>
      <c r="C3">
        <v>0.105</v>
      </c>
      <c r="D3">
        <v>59</v>
      </c>
      <c r="E3">
        <v>8</v>
      </c>
    </row>
    <row r="4" spans="1:5" x14ac:dyDescent="0.2">
      <c r="A4">
        <v>-0.15</v>
      </c>
      <c r="B4">
        <f>73+60</f>
        <v>133</v>
      </c>
      <c r="C4">
        <v>0.15</v>
      </c>
      <c r="D4">
        <f>73+60</f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201BD-B3EC-4081-9FA8-229FAE4A37A3}">
  <dimension ref="A1:F4"/>
  <sheetViews>
    <sheetView workbookViewId="0">
      <selection activeCell="D4" sqref="D4"/>
    </sheetView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>
        <v>-0.1</v>
      </c>
      <c r="B2">
        <v>0</v>
      </c>
      <c r="C2">
        <v>0.1</v>
      </c>
      <c r="D2">
        <v>0</v>
      </c>
    </row>
    <row r="3" spans="1:6" x14ac:dyDescent="0.2">
      <c r="A3" s="1">
        <v>-0.105</v>
      </c>
      <c r="B3">
        <v>60</v>
      </c>
      <c r="C3">
        <v>0.105</v>
      </c>
      <c r="D3">
        <v>60</v>
      </c>
      <c r="E3">
        <v>10.37</v>
      </c>
      <c r="F3">
        <f>637</f>
        <v>637</v>
      </c>
    </row>
    <row r="4" spans="1:6" x14ac:dyDescent="0.2">
      <c r="A4">
        <v>-0.15</v>
      </c>
      <c r="B4">
        <f>(12*60)+48-637</f>
        <v>131</v>
      </c>
      <c r="C4">
        <v>0.15</v>
      </c>
      <c r="D4">
        <f>(12*60)+49-637</f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FA84-54D3-4221-A756-264579E76C70}">
  <dimension ref="A1:E4"/>
  <sheetViews>
    <sheetView workbookViewId="0">
      <selection activeCell="F3" sqref="F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</row>
    <row r="3" spans="1:5" x14ac:dyDescent="0.2">
      <c r="A3" s="1">
        <v>-0.105</v>
      </c>
      <c r="B3">
        <f>(60*14)+13 - 789</f>
        <v>64</v>
      </c>
      <c r="C3">
        <v>0.105</v>
      </c>
      <c r="D3">
        <v>60</v>
      </c>
      <c r="E3">
        <v>13.09</v>
      </c>
    </row>
    <row r="4" spans="1:5" x14ac:dyDescent="0.2">
      <c r="A4">
        <v>-0.15</v>
      </c>
      <c r="B4">
        <f>(60*15)+22 - 789</f>
        <v>133</v>
      </c>
      <c r="C4">
        <v>0.15</v>
      </c>
      <c r="D4">
        <f>(15*60)+22 -789</f>
        <v>133</v>
      </c>
      <c r="E4">
        <f>13*60+9</f>
        <v>789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34BD-6CA8-489B-976A-1FFD88EA55E1}">
  <dimension ref="A1:E4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</row>
    <row r="3" spans="1:5" x14ac:dyDescent="0.2">
      <c r="A3" s="1">
        <v>-0.105</v>
      </c>
      <c r="B3">
        <f>(16*60)+40 - 941</f>
        <v>59</v>
      </c>
      <c r="C3">
        <v>0.105</v>
      </c>
      <c r="D3">
        <f>(16*60)+40-941</f>
        <v>59</v>
      </c>
      <c r="E3">
        <v>15.41</v>
      </c>
    </row>
    <row r="4" spans="1:5" x14ac:dyDescent="0.2">
      <c r="A4">
        <v>-0.15</v>
      </c>
      <c r="B4">
        <f>(17*60)+53-941</f>
        <v>132</v>
      </c>
      <c r="C4">
        <v>0.15</v>
      </c>
      <c r="D4">
        <f>(17*60)+53-941</f>
        <v>132</v>
      </c>
      <c r="E4">
        <f>15*60+41</f>
        <v>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3D7D6-31F8-4405-811B-47A82B42E89D}">
  <dimension ref="A1:E4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  <c r="E2">
        <v>18.100000000000001</v>
      </c>
    </row>
    <row r="3" spans="1:5" x14ac:dyDescent="0.2">
      <c r="A3" s="1">
        <v>-0.105</v>
      </c>
      <c r="B3">
        <f>(19*60)+8-1090</f>
        <v>58</v>
      </c>
      <c r="C3">
        <v>0.105</v>
      </c>
      <c r="D3">
        <f>(19*60)+15 - 1090</f>
        <v>65</v>
      </c>
      <c r="E3">
        <f>18*60+10</f>
        <v>1090</v>
      </c>
    </row>
    <row r="4" spans="1:5" x14ac:dyDescent="0.2">
      <c r="A4">
        <v>-0.15</v>
      </c>
      <c r="B4">
        <f>(20*60)+22-1090</f>
        <v>132</v>
      </c>
      <c r="C4">
        <v>0.15</v>
      </c>
      <c r="D4">
        <f>(20*60)+25-1090</f>
        <v>135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A4523-FF0D-4103-B817-CCA49621B535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2</v>
      </c>
      <c r="C3">
        <v>0.09</v>
      </c>
      <c r="D3">
        <v>3</v>
      </c>
    </row>
    <row r="4" spans="1:4" x14ac:dyDescent="0.2">
      <c r="A4">
        <v>-0.05</v>
      </c>
      <c r="B4">
        <v>86</v>
      </c>
      <c r="C4">
        <v>0.05</v>
      </c>
      <c r="D4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845AE-3905-490C-9159-E301BC19B3CA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4</v>
      </c>
      <c r="C3">
        <v>0.09</v>
      </c>
      <c r="D3">
        <v>4</v>
      </c>
    </row>
    <row r="4" spans="1:4" x14ac:dyDescent="0.2">
      <c r="A4">
        <v>-0.05</v>
      </c>
      <c r="B4">
        <f>60+57-31</f>
        <v>86</v>
      </c>
      <c r="C4">
        <v>0.05</v>
      </c>
      <c r="D4">
        <f>60+45-31</f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0D57-0DC7-42E1-BA9C-641E924B51FB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2</v>
      </c>
      <c r="C3">
        <v>0.09</v>
      </c>
      <c r="D3">
        <v>3</v>
      </c>
    </row>
    <row r="4" spans="1:4" x14ac:dyDescent="0.2">
      <c r="A4">
        <v>-0.05</v>
      </c>
      <c r="B4">
        <v>78</v>
      </c>
      <c r="C4">
        <v>0.05</v>
      </c>
      <c r="D4">
        <v>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8BA54-179A-4051-B2BD-BAD8578DFA5F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3</v>
      </c>
      <c r="C3">
        <v>0.09</v>
      </c>
      <c r="D3">
        <v>3</v>
      </c>
    </row>
    <row r="4" spans="1:4" x14ac:dyDescent="0.2">
      <c r="A4">
        <v>-0.05</v>
      </c>
      <c r="B4">
        <v>87</v>
      </c>
      <c r="C4">
        <v>0.05</v>
      </c>
      <c r="D4">
        <v>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7C0A-9D49-463D-9C3C-3CAB73C3B656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3</v>
      </c>
      <c r="C3">
        <v>0.09</v>
      </c>
      <c r="D3">
        <v>3</v>
      </c>
    </row>
    <row r="4" spans="1:4" x14ac:dyDescent="0.2">
      <c r="A4">
        <v>-0.05</v>
      </c>
      <c r="B4">
        <f>60+29-3</f>
        <v>86</v>
      </c>
      <c r="C4">
        <v>0.05</v>
      </c>
      <c r="D4">
        <f>60+22-3</f>
        <v>79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E567-F57F-42E1-8764-5236A02FED34}">
  <dimension ref="A1:D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-0.09</v>
      </c>
      <c r="B3">
        <v>2</v>
      </c>
      <c r="C3">
        <v>0.09</v>
      </c>
      <c r="D3">
        <v>2</v>
      </c>
    </row>
    <row r="4" spans="1:4" x14ac:dyDescent="0.2">
      <c r="A4">
        <v>-0.05</v>
      </c>
      <c r="C4">
        <v>0.05</v>
      </c>
      <c r="D4">
        <f xml:space="preserve"> (3*60+36) - (2*60+11)</f>
        <v>85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7DB7-13F4-483D-A4DD-3C25CF21F710}">
  <dimension ref="A1:E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  <c r="E2">
        <v>4.01</v>
      </c>
    </row>
    <row r="3" spans="1:5" x14ac:dyDescent="0.2">
      <c r="A3">
        <v>-0.09</v>
      </c>
      <c r="B3">
        <v>4</v>
      </c>
      <c r="C3">
        <v>0.09</v>
      </c>
      <c r="D3">
        <v>4</v>
      </c>
    </row>
    <row r="4" spans="1:5" x14ac:dyDescent="0.2">
      <c r="A4">
        <v>-0.05</v>
      </c>
      <c r="B4">
        <f>(5*60)+19 - (4*60+1)</f>
        <v>78</v>
      </c>
      <c r="C4">
        <v>0.05</v>
      </c>
      <c r="D4">
        <f>(5*60)+13 - (4*60+1)</f>
        <v>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3E766-453A-415E-94C1-1CAF4B68C4A4}">
  <dimension ref="A1:E4"/>
  <sheetViews>
    <sheetView workbookViewId="0">
      <selection activeCell="C2" sqref="C2:C4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  <c r="E2">
        <f>(5*60)+47</f>
        <v>347</v>
      </c>
    </row>
    <row r="3" spans="1:5" x14ac:dyDescent="0.2">
      <c r="A3">
        <v>-0.09</v>
      </c>
      <c r="B3">
        <v>4</v>
      </c>
      <c r="C3">
        <v>0.09</v>
      </c>
      <c r="D3">
        <v>4</v>
      </c>
    </row>
    <row r="4" spans="1:5" x14ac:dyDescent="0.2">
      <c r="A4">
        <v>-0.05</v>
      </c>
      <c r="B4">
        <f>(7*60)+13-E2</f>
        <v>86</v>
      </c>
      <c r="C4">
        <v>0.05</v>
      </c>
      <c r="D4">
        <f>(6*60)+58-E2</f>
        <v>71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8EB89-93A2-419C-A26A-1D612AA0FEE6}">
  <dimension ref="A1:E4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  <c r="E2">
        <f>8*60</f>
        <v>480</v>
      </c>
    </row>
    <row r="3" spans="1:5" x14ac:dyDescent="0.2">
      <c r="A3">
        <v>-0.09</v>
      </c>
      <c r="B3">
        <v>4</v>
      </c>
      <c r="C3">
        <v>0.09</v>
      </c>
      <c r="D3">
        <v>4</v>
      </c>
    </row>
    <row r="4" spans="1:5" x14ac:dyDescent="0.2">
      <c r="A4">
        <v>-0.05</v>
      </c>
      <c r="B4">
        <f>(9*60)+19 -E2</f>
        <v>79</v>
      </c>
      <c r="C4">
        <v>0.05</v>
      </c>
      <c r="D4">
        <f>(9*60)+12-E2</f>
        <v>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E6916-DDE3-40CC-BB88-352D43C87C48}">
  <dimension ref="A1:E4"/>
  <sheetViews>
    <sheetView workbookViewId="0">
      <selection activeCell="E3" sqref="E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2" spans="1:5" x14ac:dyDescent="0.2">
      <c r="A2">
        <v>-0.1</v>
      </c>
      <c r="B2">
        <v>0</v>
      </c>
      <c r="C2">
        <v>0.1</v>
      </c>
      <c r="D2">
        <v>0</v>
      </c>
    </row>
    <row r="3" spans="1:5" x14ac:dyDescent="0.2">
      <c r="A3">
        <v>-0.09</v>
      </c>
      <c r="B3">
        <v>4</v>
      </c>
      <c r="C3">
        <v>0.09</v>
      </c>
      <c r="D3">
        <v>4</v>
      </c>
      <c r="E3">
        <f>(9*60)+36</f>
        <v>576</v>
      </c>
    </row>
    <row r="4" spans="1:5" x14ac:dyDescent="0.2">
      <c r="A4">
        <v>-0.05</v>
      </c>
      <c r="B4">
        <f>(11*60)+3-E3</f>
        <v>87</v>
      </c>
      <c r="C4">
        <v>0.05</v>
      </c>
      <c r="D4">
        <f>(10*60)+56-E3</f>
        <v>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0B5E-C3FA-417D-B4E2-9EBDC8DC53AF}">
  <dimension ref="A1:D12"/>
  <sheetViews>
    <sheetView tabSelected="1" workbookViewId="0">
      <selection activeCell="D1" sqref="D1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-0.1</v>
      </c>
      <c r="B2">
        <v>0</v>
      </c>
      <c r="C2">
        <v>0.1</v>
      </c>
      <c r="D2">
        <v>0</v>
      </c>
    </row>
    <row r="3" spans="1:4" x14ac:dyDescent="0.2">
      <c r="A3">
        <v>-2.5000000000000001E-2</v>
      </c>
      <c r="B3">
        <v>19</v>
      </c>
      <c r="C3" s="1">
        <v>2.5000000000000001E-2</v>
      </c>
      <c r="D3">
        <v>22</v>
      </c>
    </row>
    <row r="4" spans="1:4" x14ac:dyDescent="0.2">
      <c r="A4" s="1">
        <v>7.5000000000000002E-4</v>
      </c>
      <c r="B4">
        <v>28</v>
      </c>
      <c r="C4" s="1">
        <v>7.5000000000000002E-4</v>
      </c>
      <c r="D4">
        <v>31</v>
      </c>
    </row>
    <row r="5" spans="1:4" x14ac:dyDescent="0.2">
      <c r="A5" s="1">
        <v>2.5000000000000001E-2</v>
      </c>
      <c r="B5">
        <v>44</v>
      </c>
      <c r="C5">
        <v>-7.5000000000000002E-4</v>
      </c>
      <c r="D5">
        <v>32</v>
      </c>
    </row>
    <row r="6" spans="1:4" x14ac:dyDescent="0.2">
      <c r="A6" s="1">
        <v>2.5000000000000001E-2</v>
      </c>
      <c r="B6">
        <v>57</v>
      </c>
      <c r="C6">
        <v>-2.5000000000000001E-2</v>
      </c>
      <c r="D6">
        <v>49</v>
      </c>
    </row>
    <row r="7" spans="1:4" x14ac:dyDescent="0.2">
      <c r="A7" s="1">
        <v>7.5000000000000002E-4</v>
      </c>
      <c r="B7">
        <v>96</v>
      </c>
      <c r="C7">
        <v>-2.5000000000000001E-2</v>
      </c>
      <c r="D7">
        <v>72</v>
      </c>
    </row>
    <row r="8" spans="1:4" x14ac:dyDescent="0.2">
      <c r="A8" s="1">
        <v>-7.5000000000000002E-4</v>
      </c>
      <c r="B8">
        <v>102</v>
      </c>
      <c r="C8">
        <v>-7.5000000000000002E-4</v>
      </c>
      <c r="D8">
        <v>100</v>
      </c>
    </row>
    <row r="9" spans="1:4" x14ac:dyDescent="0.2">
      <c r="A9" s="1">
        <v>2.5000000000000001E-2</v>
      </c>
      <c r="B9">
        <v>115</v>
      </c>
      <c r="C9">
        <v>2.5000000000000001E-2</v>
      </c>
      <c r="D9">
        <v>142</v>
      </c>
    </row>
    <row r="10" spans="1:4" x14ac:dyDescent="0.2">
      <c r="A10">
        <v>-2.5000000000000001E-2</v>
      </c>
      <c r="B10">
        <v>182</v>
      </c>
      <c r="C10">
        <v>-2.5000000000000001E-2</v>
      </c>
      <c r="D10">
        <v>189</v>
      </c>
    </row>
    <row r="11" spans="1:4" x14ac:dyDescent="0.2">
      <c r="A11" s="1">
        <v>2.5000000000000001E-2</v>
      </c>
      <c r="B11">
        <v>235</v>
      </c>
      <c r="C11">
        <v>2.5000000000000001E-2</v>
      </c>
      <c r="D11">
        <v>236</v>
      </c>
    </row>
    <row r="12" spans="1:4" x14ac:dyDescent="0.2">
      <c r="A12">
        <v>-2.5000000000000001E-2</v>
      </c>
      <c r="B12">
        <v>285</v>
      </c>
      <c r="C12">
        <v>-2.5000000000000001E-2</v>
      </c>
      <c r="D12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ref1</vt:lpstr>
      <vt:lpstr>ref1_2</vt:lpstr>
      <vt:lpstr>ref1_3</vt:lpstr>
      <vt:lpstr>ref1_4</vt:lpstr>
      <vt:lpstr>ref1_5</vt:lpstr>
      <vt:lpstr>ref1_6</vt:lpstr>
      <vt:lpstr>ref1_7</vt:lpstr>
      <vt:lpstr>ref1_8</vt:lpstr>
      <vt:lpstr>ref1_9</vt:lpstr>
      <vt:lpstr>ref1_10</vt:lpstr>
      <vt:lpstr>ref2</vt:lpstr>
      <vt:lpstr>ref2_2</vt:lpstr>
      <vt:lpstr>ref2_3</vt:lpstr>
      <vt:lpstr>ref2_4</vt:lpstr>
      <vt:lpstr>ref2_5</vt:lpstr>
      <vt:lpstr>ref2_6</vt:lpstr>
      <vt:lpstr>ref2_7</vt:lpstr>
      <vt:lpstr>ref2_8</vt:lpstr>
      <vt:lpstr>ref2_9</vt:lpstr>
      <vt:lpstr>ref2_10</vt:lpstr>
      <vt:lpstr>ref3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Clementine Fry</cp:lastModifiedBy>
  <cp:revision/>
  <dcterms:created xsi:type="dcterms:W3CDTF">2025-07-08T15:29:00Z</dcterms:created>
  <dcterms:modified xsi:type="dcterms:W3CDTF">2025-07-09T14:53:15Z</dcterms:modified>
  <cp:category/>
  <cp:contentStatus/>
</cp:coreProperties>
</file>